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l6ks7\Documents\Calculators\In Plan Tool\2024 update\"/>
    </mc:Choice>
  </mc:AlternateContent>
  <xr:revisionPtr revIDLastSave="0" documentId="8_{E307253B-198A-4758-A740-E78E3B104B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Parameters" sheetId="1" r:id="rId1"/>
    <sheet name="SinglePayouts" sheetId="2" r:id="rId2"/>
    <sheet name="JointPayo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<sst xmlns="http://schemas.openxmlformats.org/spreadsheetml/2006/main" count="14" uniqueCount="11">
  <si>
    <t>fixedRate</t>
  </si>
  <si>
    <t>minimumFixedRate</t>
  </si>
  <si>
    <t>creditBonus</t>
  </si>
  <si>
    <t>creditBonusMonthly</t>
  </si>
  <si>
    <t>creditBonusMonthlyGuaranteed</t>
  </si>
  <si>
    <t>jointRateDeduction</t>
  </si>
  <si>
    <t>bonusStartAge</t>
  </si>
  <si>
    <t>bonus</t>
  </si>
  <si>
    <t>age</t>
  </si>
  <si>
    <t>current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</si>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</sst>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top"/>
    </xf>
    <xf numFmtId="0" fontId="0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13" sqref="C13"/>
    </sheetView>
  </sheetViews>
  <sheetFormatPr defaultColWidth="10.75" defaultRowHeight="21" x14ac:dyDescent="0.35"/>
  <cols>
    <col min="1" max="1" width="11.75" style="1" bestFit="1" customWidth="1"/>
    <col min="2" max="2" width="23.25" style="1" bestFit="1" customWidth="1"/>
    <col min="3" max="3" width="14.75" style="1" bestFit="1" customWidth="1"/>
    <col min="4" max="4" width="25" style="1" bestFit="1" customWidth="1"/>
    <col min="5" max="5" width="39" style="1" bestFit="1" customWidth="1"/>
    <col min="6" max="6" width="23.75" style="1" bestFit="1" customWidth="1"/>
    <col min="7" max="7" width="18.25" style="1" bestFit="1" customWidth="1"/>
    <col min="8" max="8" width="8.25" style="1" bestFit="1" customWidth="1"/>
    <col min="9" max="16384" width="10.75" style="1"/>
  </cols>
  <sheetData>
    <row r="1" spans="1: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>
        <v>2.75E-2</v>
      </c>
      <c r="B2">
        <v>1E-3</v>
      </c>
      <c r="C2">
        <v>1.5</v>
      </c>
      <c r="D2">
        <f>(1+C2*A2)^(1/12)</f>
        <v>1.0033741726226397</v>
      </c>
      <c r="E2">
        <f>(1+C2*B2)^(1/12)</f>
        <v>1.0001249141447668</v>
      </c>
      <c r="F2">
        <v>5.0000000000000001E-3</v>
      </c>
      <c r="G2">
        <v>50</v>
      </c>
      <c r="H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D16" sqref="D16"/>
    </sheetView>
  </sheetViews>
  <sheetFormatPr defaultColWidth="10.75" defaultRowHeight="21" x14ac:dyDescent="0.35"/>
  <cols>
    <col min="1" max="1" width="5.25" style="1" bestFit="1" customWidth="1"/>
    <col min="2" max="2" width="9.75" style="1" bestFit="1" customWidth="1"/>
    <col min="3" max="3" width="12" style="1" bestFit="1" customWidth="1"/>
    <col min="4" max="16384" width="10.75" style="1"/>
  </cols>
  <sheetData>
    <row r="1" spans="1:3" s="2" customFormat="1" x14ac:dyDescent="0.35">
      <c r="A1" s="2" t="s">
        <v>8</v>
      </c>
      <c r="B1" s="2" t="s">
        <v>9</v>
      </c>
      <c r="C1" s="2" t="s">
        <v>10</v>
      </c>
    </row>
    <row r="2" spans="1:3" ht="15" customHeight="1" x14ac:dyDescent="0.35">
      <c r="A2" s="7">
        <v>60</v>
      </c>
      <c r="B2" s="4">
        <v>4.7500000000000001E-2</v>
      </c>
      <c r="C2" s="7">
        <v>2.5999999999999999E-2</v>
      </c>
    </row>
    <row r="3" spans="1:3" ht="15" customHeight="1" x14ac:dyDescent="0.35">
      <c r="A3" s="7">
        <v>65</v>
      </c>
      <c r="B3" s="4">
        <v>4.9999999999999996E-2</v>
      </c>
      <c r="C3" s="7">
        <v>2.5999999999999999E-2</v>
      </c>
    </row>
    <row r="4" spans="1:3" ht="15" customHeight="1" x14ac:dyDescent="0.35">
      <c r="A4" s="7">
        <v>70</v>
      </c>
      <c r="B4" s="4">
        <v>5.2499999999999998E-2</v>
      </c>
      <c r="C4" s="7">
        <v>2.5999999999999999E-2</v>
      </c>
    </row>
    <row r="5" spans="1:3" ht="15" customHeight="1" x14ac:dyDescent="0.35">
      <c r="A5" s="7">
        <v>75</v>
      </c>
      <c r="B5" s="4">
        <v>5.5E-2</v>
      </c>
      <c r="C5" s="7">
        <v>2.5999999999999999E-2</v>
      </c>
    </row>
    <row r="6" spans="1:3" ht="15" customHeight="1" x14ac:dyDescent="0.35">
      <c r="A6" s="7">
        <v>80</v>
      </c>
      <c r="B6" s="4">
        <v>5.7500000000000002E-2</v>
      </c>
      <c r="C6" s="7">
        <v>2.5999999999999999E-2</v>
      </c>
    </row>
    <row r="7" spans="1:3" ht="15" customHeight="1" x14ac:dyDescent="0.35">
      <c r="A7" s="7">
        <v>85</v>
      </c>
      <c r="B7" s="4">
        <v>6.0000000000000005E-2</v>
      </c>
      <c r="C7" s="7">
        <v>2.5999999999999999E-2</v>
      </c>
    </row>
    <row r="8" spans="1:3" ht="15" customHeight="1" x14ac:dyDescent="0.35">
      <c r="A8" s="7">
        <v>90</v>
      </c>
      <c r="B8" s="4">
        <v>6.25E-2</v>
      </c>
      <c r="C8" s="7">
        <v>2.5999999999999999E-2</v>
      </c>
    </row>
    <row r="9" spans="1:3" ht="15" customHeight="1" x14ac:dyDescent="0.35">
      <c r="A9" s="7">
        <v>95</v>
      </c>
      <c r="B9" s="4">
        <v>6.5000000000000002E-2</v>
      </c>
      <c r="C9" s="7">
        <v>2.5999999999999999E-2</v>
      </c>
    </row>
    <row r="10" spans="1:3" ht="15" customHeight="1" x14ac:dyDescent="0.35">
      <c r="A10" s="7">
        <v>100</v>
      </c>
      <c r="B10" s="4">
        <v>6.7500000000000004E-2</v>
      </c>
      <c r="C10" s="7">
        <v>2.5999999999999999E-2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F10" sqref="F10"/>
    </sheetView>
  </sheetViews>
  <sheetFormatPr defaultColWidth="10.75" defaultRowHeight="21" x14ac:dyDescent="0.35"/>
  <cols>
    <col min="1" max="1" width="5.25" style="1" bestFit="1" customWidth="1"/>
    <col min="2" max="2" width="9.75" style="1" bestFit="1" customWidth="1"/>
    <col min="3" max="3" width="12" style="1" bestFit="1" customWidth="1"/>
    <col min="4" max="16384" width="10.75" style="1"/>
  </cols>
  <sheetData>
    <row r="1" spans="1:3" s="2" customFormat="1" x14ac:dyDescent="0.35">
      <c r="A1" s="3" t="s">
        <v>8</v>
      </c>
      <c r="B1" s="5" t="s">
        <v>9</v>
      </c>
      <c r="C1" s="5" t="s">
        <v>10</v>
      </c>
    </row>
    <row r="2" spans="1:3" ht="15" customHeight="1" x14ac:dyDescent="0.35">
      <c r="A2" s="6">
        <v>60</v>
      </c>
      <c r="B2" s="4">
        <v>4.2500000000000003E-2</v>
      </c>
      <c r="C2" s="6">
        <v>2.1000000000000001E-2</v>
      </c>
    </row>
    <row r="3" spans="1:3" ht="15" customHeight="1" x14ac:dyDescent="0.35">
      <c r="A3" s="6">
        <v>65</v>
      </c>
      <c r="B3" s="4">
        <v>4.4999999999999998E-2</v>
      </c>
      <c r="C3" s="6">
        <v>2.1000000000000001E-2</v>
      </c>
    </row>
    <row r="4" spans="1:3" ht="15" customHeight="1" x14ac:dyDescent="0.35">
      <c r="A4" s="6">
        <v>70</v>
      </c>
      <c r="B4" s="4">
        <v>4.7500000000000001E-2</v>
      </c>
      <c r="C4" s="6">
        <v>2.1000000000000001E-2</v>
      </c>
    </row>
    <row r="5" spans="1:3" ht="15" customHeight="1" x14ac:dyDescent="0.35">
      <c r="A5" s="6">
        <v>75</v>
      </c>
      <c r="B5" s="4">
        <v>0.05</v>
      </c>
      <c r="C5" s="6">
        <v>2.1000000000000001E-2</v>
      </c>
    </row>
    <row r="6" spans="1:3" ht="15" customHeight="1" x14ac:dyDescent="0.35">
      <c r="A6" s="6">
        <v>80</v>
      </c>
      <c r="B6" s="4">
        <v>5.2500000000000005E-2</v>
      </c>
      <c r="C6" s="6">
        <v>2.1000000000000001E-2</v>
      </c>
    </row>
    <row r="7" spans="1:3" ht="15" customHeight="1" x14ac:dyDescent="0.35">
      <c r="A7" s="6">
        <v>85</v>
      </c>
      <c r="B7" s="4">
        <v>5.5000000000000007E-2</v>
      </c>
      <c r="C7" s="6">
        <v>2.1000000000000001E-2</v>
      </c>
    </row>
    <row r="8" spans="1:3" ht="15" customHeight="1" x14ac:dyDescent="0.35">
      <c r="A8" s="6">
        <v>90</v>
      </c>
      <c r="B8" s="4">
        <v>5.7500000000000009E-2</v>
      </c>
      <c r="C8" s="6">
        <v>2.5999999999999999E-2</v>
      </c>
    </row>
    <row r="9" spans="1:3" ht="15" customHeight="1" x14ac:dyDescent="0.35">
      <c r="A9" s="6">
        <v>95</v>
      </c>
      <c r="B9" s="4">
        <v>6.0000000000000012E-2</v>
      </c>
      <c r="C9" s="6">
        <v>2.5999999999999999E-2</v>
      </c>
    </row>
    <row r="10" spans="1:3" ht="15" customHeight="1" x14ac:dyDescent="0.35">
      <c r="A10" s="6">
        <v>100</v>
      </c>
      <c r="B10" s="4">
        <v>6.2500000000000014E-2</v>
      </c>
      <c r="C10" s="6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ProductParameters</vt:lpstr>
      <vt:lpstr>SinglePayouts</vt:lpstr>
      <vt:lpstr>JointPayouts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Davis, Geoff (Allianz Life Insurance Company)</cp:lastModifiedBy>
  <dcterms:created xsi:type="dcterms:W3CDTF">2021-06-22T19:28:38Z</dcterms:created>
  <dcterms:modified xsi:type="dcterms:W3CDTF">2024-08-12T14:51:06Z</dcterms:modified>
</cp:coreProperties>
</file>